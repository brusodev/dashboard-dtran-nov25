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bruno.vargas\Desktop\PROJETOS\dashboard-dtran-nov25\"/>
    </mc:Choice>
  </mc:AlternateContent>
  <xr:revisionPtr revIDLastSave="0" documentId="13_ncr:1_{F0F4F5C3-61E9-47EC-9F57-ED5C666B62E3}" xr6:coauthVersionLast="47" xr6:coauthVersionMax="47" xr10:uidLastSave="{00000000-0000-0000-0000-000000000000}"/>
  <bookViews>
    <workbookView xWindow="3510" yWindow="2535" windowWidth="20730" windowHeight="11160" tabRatio="808" xr2:uid="{A8503064-5735-4A81-AD91-8CF0BC577997}"/>
  </bookViews>
  <sheets>
    <sheet name="PEDIDOS ATENDIDOS" sheetId="2" r:id="rId1"/>
    <sheet name="TEMPO EM PERNOITE" sheetId="11" r:id="rId2"/>
  </sheets>
  <definedNames>
    <definedName name="_xlnm._FilterDatabase" localSheetId="0" hidden="1">'PEDIDOS ATENDIDOS'!$A$1:$B$15</definedName>
    <definedName name="_xlnm._FilterDatabase" localSheetId="1" hidden="1">'TEMPO EM PERNOITE'!$A$1:$B$9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11" l="1"/>
  <c r="B17" i="2" l="1"/>
</calcChain>
</file>

<file path=xl/sharedStrings.xml><?xml version="1.0" encoding="utf-8"?>
<sst xmlns="http://schemas.openxmlformats.org/spreadsheetml/2006/main" count="28" uniqueCount="19">
  <si>
    <t>SUPED</t>
  </si>
  <si>
    <t>DIISE</t>
  </si>
  <si>
    <t>SUART</t>
  </si>
  <si>
    <t>EFAPE</t>
  </si>
  <si>
    <t>COGESPA</t>
  </si>
  <si>
    <t>GABINETE</t>
  </si>
  <si>
    <t>DIPES</t>
  </si>
  <si>
    <t>CEAE</t>
  </si>
  <si>
    <t>DIPLIC</t>
  </si>
  <si>
    <t>TOTAL</t>
  </si>
  <si>
    <t>SUBSEC</t>
  </si>
  <si>
    <t>SUPLAN</t>
  </si>
  <si>
    <t>SETOR</t>
  </si>
  <si>
    <t>SEDUC</t>
  </si>
  <si>
    <t>AIMPRES</t>
  </si>
  <si>
    <t>PEDIDOS</t>
  </si>
  <si>
    <t>SUCOR</t>
  </si>
  <si>
    <t>DIAS</t>
  </si>
  <si>
    <t>DIORF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</si>
</sst>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9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6">
    <xf numFmtId="0" fontId="0" fillId="0" borderId="0" xfId="0"/>
    <xf numFmtId="0" fontId="0" fillId="2" borderId="0" xfId="0" applyFill="1"/>
    <xf numFmtId="0" fontId="2" fillId="2" borderId="1" xfId="0" applyFont="1" applyFill="1" applyBorder="1"/>
    <xf numFmtId="0" fontId="0" fillId="2" borderId="1" xfId="0" applyFill="1" applyBorder="1"/>
    <xf numFmtId="0" fontId="2" fillId="0" borderId="1" xfId="0" applyFont="1" applyBorder="1"/>
    <xf numFmtId="0" fontId="0" fillId="0" borderId="1" xfId="0" applyBorder="1"/>
  </cellXfs>
  <cellStyles count="29">
    <cellStyle name="Normal" xfId="0" builtinId="0"/>
    <cellStyle name="Normal 10" xfId="7" xr:uid="{BD34A9C7-3CE5-41EA-8459-BADCDCFFE061}"/>
    <cellStyle name="Normal 11" xfId="16" xr:uid="{E84B1835-83C0-49EB-8716-C7A60A3B9CCC}"/>
    <cellStyle name="Normal 12" xfId="8" xr:uid="{59D2ACE6-59FE-45BE-8B98-1DB9EE3E2212}"/>
    <cellStyle name="Normal 13" xfId="17" xr:uid="{D173B86E-2242-49AA-AF4B-515D01AA7DEC}"/>
    <cellStyle name="Normal 14" xfId="9" xr:uid="{7602AF4D-2546-439D-889A-35F3F435BABF}"/>
    <cellStyle name="Normal 15" xfId="10" xr:uid="{6D4665B2-4BA1-4741-A9CB-4ED5EDCAA41E}"/>
    <cellStyle name="Normal 16" xfId="11" xr:uid="{9CC6139F-1F28-477E-8239-0E9CE04807AD}"/>
    <cellStyle name="Normal 17" xfId="18" xr:uid="{2BEDE862-6962-477F-B0F4-C1181A1086D9}"/>
    <cellStyle name="Normal 18" xfId="12" xr:uid="{4B25E680-F2AE-4485-86CA-FF121FEAB39B}"/>
    <cellStyle name="Normal 19" xfId="19" xr:uid="{B358662B-FCF1-4977-8C6A-52E6050F2C89}"/>
    <cellStyle name="Normal 2" xfId="1" xr:uid="{B2FC1555-183A-4340-BF53-C336AD37F173}"/>
    <cellStyle name="Normal 2 2" xfId="3" xr:uid="{D0F0653E-F4F3-4B3D-983A-9A4B38AFA17B}"/>
    <cellStyle name="Normal 2 3" xfId="21" xr:uid="{C2476E97-F994-4EF8-92A9-F9F751015EAA}"/>
    <cellStyle name="Normal 2 4" xfId="22" xr:uid="{88E93392-5AC1-4365-81A4-419CAF39EFB0}"/>
    <cellStyle name="Normal 2 5" xfId="24" xr:uid="{648284F7-FE7D-4D56-A230-D86098FAE8DA}"/>
    <cellStyle name="Normal 2 6" xfId="25" xr:uid="{CD5DA830-EBDB-481B-824F-067A21C70533}"/>
    <cellStyle name="Normal 2 7" xfId="27" xr:uid="{5DED0EF6-87A8-4B1B-82F6-EBAB10C093D7}"/>
    <cellStyle name="Normal 2 8" xfId="28" xr:uid="{ED5AF12D-693D-42C5-A874-B8D7D995D3EB}"/>
    <cellStyle name="Normal 20" xfId="13" xr:uid="{A000DBB9-2044-4E2A-B670-9C7FA932D4CA}"/>
    <cellStyle name="Normal 21" xfId="14" xr:uid="{E6004CBC-3E5D-4B65-8606-43E6F9F24419}"/>
    <cellStyle name="Normal 22" xfId="15" xr:uid="{DF5DB62D-BA43-471F-AF5C-E75BC5DC0511}"/>
    <cellStyle name="Normal 3" xfId="2" xr:uid="{770D1306-B44E-472A-ACEC-4607792803EA}"/>
    <cellStyle name="Normal 4" xfId="20" xr:uid="{2773C3BF-A81F-4766-859E-A9095541400B}"/>
    <cellStyle name="Normal 5" xfId="4" xr:uid="{4EB636FD-7B97-4364-AF0A-FA16169F449A}"/>
    <cellStyle name="Normal 6" xfId="23" xr:uid="{0222601C-0825-4F55-8E02-52883E2B1E4B}"/>
    <cellStyle name="Normal 7" xfId="5" xr:uid="{41F5CFB3-2A77-4D21-892B-CC6288151289}"/>
    <cellStyle name="Normal 8" xfId="26" xr:uid="{CF706B73-2EAC-4E24-924D-544FD340DBC1}"/>
    <cellStyle name="Normal 9" xfId="6" xr:uid="{DFE0FA0A-97D3-4B64-BF80-CD1608F380C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all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PEDIDOS Atendidos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solidFill>
          <a:schemeClr val="tx2"/>
        </a:solidFill>
        <a:ln>
          <a:noFill/>
        </a:ln>
        <a:effectLst/>
        <a:sp3d/>
      </c:spPr>
    </c:sideWall>
    <c:backWall>
      <c:thickness val="0"/>
      <c:spPr>
        <a:solidFill>
          <a:schemeClr val="tx2"/>
        </a:solidFill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'PEDIDOS ATENDIDOS'!$B$1</c:f>
              <c:strCache>
                <c:ptCount val="1"/>
                <c:pt idx="0">
                  <c:v>PEDIDOS</c:v>
                </c:pt>
              </c:strCache>
            </c:strRef>
          </c:tx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1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'PEDIDOS ATENDIDOS'!$A$2:$A$15</c:f>
              <c:strCache>
                <c:ptCount val="14"/>
                <c:pt idx="0">
                  <c:v>SUPED</c:v>
                </c:pt>
                <c:pt idx="1">
                  <c:v>EFAPE</c:v>
                </c:pt>
                <c:pt idx="2">
                  <c:v>SEDUC</c:v>
                </c:pt>
                <c:pt idx="3">
                  <c:v>DIPES</c:v>
                </c:pt>
                <c:pt idx="4">
                  <c:v>SUBSEC</c:v>
                </c:pt>
                <c:pt idx="5">
                  <c:v>DIISE</c:v>
                </c:pt>
                <c:pt idx="6">
                  <c:v>GABINETE</c:v>
                </c:pt>
                <c:pt idx="7">
                  <c:v>COGESPA</c:v>
                </c:pt>
                <c:pt idx="8">
                  <c:v>SUART</c:v>
                </c:pt>
                <c:pt idx="9">
                  <c:v>SUPLAN</c:v>
                </c:pt>
                <c:pt idx="10">
                  <c:v>CEAE</c:v>
                </c:pt>
                <c:pt idx="11">
                  <c:v>DIORF</c:v>
                </c:pt>
                <c:pt idx="12">
                  <c:v>AIMPRES</c:v>
                </c:pt>
                <c:pt idx="13">
                  <c:v>SUCOR</c:v>
                </c:pt>
              </c:strCache>
            </c:strRef>
          </c:cat>
          <c:val>
            <c:numRef>
              <c:f>'PEDIDOS ATENDIDOS'!$B$2:$B$15</c:f>
              <c:numCache>
                <c:formatCode>General</c:formatCode>
                <c:ptCount val="14"/>
                <c:pt idx="0">
                  <c:v>68</c:v>
                </c:pt>
                <c:pt idx="1">
                  <c:v>41</c:v>
                </c:pt>
                <c:pt idx="2">
                  <c:v>38</c:v>
                </c:pt>
                <c:pt idx="3">
                  <c:v>25</c:v>
                </c:pt>
                <c:pt idx="4">
                  <c:v>24</c:v>
                </c:pt>
                <c:pt idx="5">
                  <c:v>23</c:v>
                </c:pt>
                <c:pt idx="6">
                  <c:v>21</c:v>
                </c:pt>
                <c:pt idx="7">
                  <c:v>18</c:v>
                </c:pt>
                <c:pt idx="8">
                  <c:v>10</c:v>
                </c:pt>
                <c:pt idx="9">
                  <c:v>8</c:v>
                </c:pt>
                <c:pt idx="10">
                  <c:v>4</c:v>
                </c:pt>
                <c:pt idx="11">
                  <c:v>3</c:v>
                </c:pt>
                <c:pt idx="12">
                  <c:v>3</c:v>
                </c:pt>
                <c:pt idx="1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91-4B58-9D38-DA75E580D0F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567434952"/>
        <c:axId val="567436752"/>
        <c:axId val="0"/>
      </c:bar3DChart>
      <c:catAx>
        <c:axId val="567434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7436752"/>
        <c:crosses val="autoZero"/>
        <c:auto val="1"/>
        <c:lblAlgn val="ctr"/>
        <c:lblOffset val="100"/>
        <c:noMultiLvlLbl val="0"/>
      </c:catAx>
      <c:valAx>
        <c:axId val="567436752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567434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2"/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all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DIAS</a:t>
            </a:r>
            <a:r>
              <a:rPr lang="en-US" baseline="0"/>
              <a:t> EM PERNOITE</a:t>
            </a:r>
            <a:endParaRPr lang="en-US"/>
          </a:p>
        </c:rich>
      </c:tx>
      <c:layout>
        <c:manualLayout>
          <c:xMode val="edge"/>
          <c:yMode val="edge"/>
          <c:x val="0.23782158617034183"/>
          <c:y val="4.10958756351793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solidFill>
          <a:schemeClr val="tx2"/>
        </a:solidFill>
        <a:ln>
          <a:noFill/>
        </a:ln>
        <a:effectLst/>
        <a:sp3d/>
      </c:spPr>
    </c:sideWall>
    <c:backWall>
      <c:thickness val="0"/>
      <c:spPr>
        <a:solidFill>
          <a:schemeClr val="tx2"/>
        </a:solidFill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'TEMPO EM PERNOITE'!$B$1</c:f>
              <c:strCache>
                <c:ptCount val="1"/>
                <c:pt idx="0">
                  <c:v>DIAS</c:v>
                </c:pt>
              </c:strCache>
            </c:strRef>
          </c:tx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1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'TEMPO EM PERNOITE'!$A$2:$A$9</c:f>
              <c:strCache>
                <c:ptCount val="8"/>
                <c:pt idx="0">
                  <c:v>SUPED</c:v>
                </c:pt>
                <c:pt idx="1">
                  <c:v>DIPES</c:v>
                </c:pt>
                <c:pt idx="2">
                  <c:v>GABINETE</c:v>
                </c:pt>
                <c:pt idx="3">
                  <c:v>COGESPA</c:v>
                </c:pt>
                <c:pt idx="4">
                  <c:v>SUART</c:v>
                </c:pt>
                <c:pt idx="5">
                  <c:v>SUART</c:v>
                </c:pt>
                <c:pt idx="6">
                  <c:v>DIISE</c:v>
                </c:pt>
                <c:pt idx="7">
                  <c:v>DIPLIC</c:v>
                </c:pt>
              </c:strCache>
            </c:strRef>
          </c:cat>
          <c:val>
            <c:numRef>
              <c:f>'TEMPO EM PERNOITE'!$B$2:$B$9</c:f>
              <c:numCache>
                <c:formatCode>General</c:formatCode>
                <c:ptCount val="8"/>
                <c:pt idx="0">
                  <c:v>10</c:v>
                </c:pt>
                <c:pt idx="1">
                  <c:v>4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F0-470E-8C59-A0D3BCFFAD1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567434952"/>
        <c:axId val="567436752"/>
        <c:axId val="0"/>
      </c:bar3DChart>
      <c:catAx>
        <c:axId val="567434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7436752"/>
        <c:crosses val="autoZero"/>
        <c:auto val="1"/>
        <c:lblAlgn val="ctr"/>
        <c:lblOffset val="100"/>
        <c:noMultiLvlLbl val="0"/>
      </c:catAx>
      <c:valAx>
        <c:axId val="567436752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567434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2"/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600075</xdr:colOff>
      <xdr:row>1</xdr:row>
      <xdr:rowOff>180974</xdr:rowOff>
    </xdr:from>
    <xdr:to>
      <xdr:col>9</xdr:col>
      <xdr:colOff>685800</xdr:colOff>
      <xdr:row>14</xdr:row>
      <xdr:rowOff>157161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6AC0442-933F-8706-E349-9BCFEDB31E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485775</xdr:colOff>
      <xdr:row>1</xdr:row>
      <xdr:rowOff>19049</xdr:rowOff>
    </xdr:from>
    <xdr:to>
      <xdr:col>9</xdr:col>
      <xdr:colOff>742950</xdr:colOff>
      <xdr:row>15</xdr:row>
      <xdr:rowOff>133350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F1F5E12-1A3F-4454-A60F-79056901C5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40D4E-4344-4026-B946-26330EA60A39}">
  <dimension ref="A1:B17"/>
  <sheetViews>
    <sheetView tabSelected="1" workbookViewId="0">
      <selection activeCell="C21" sqref="C21"/>
    </sheetView>
  </sheetViews>
  <sheetFormatPr defaultRowHeight="15" x14ac:dyDescent="0.25"/>
  <cols>
    <col min="1" max="1" width="13.28515625" style="1" customWidth="1"/>
    <col min="2" max="2" width="18.42578125" style="1" bestFit="1" customWidth="1"/>
    <col min="3" max="9" width="9.140625" style="1"/>
    <col min="10" max="10" width="11.85546875" style="1" bestFit="1" customWidth="1"/>
    <col min="11" max="11" width="10.42578125" style="1" bestFit="1" customWidth="1"/>
    <col min="12" max="16384" width="9.140625" style="1"/>
  </cols>
  <sheetData>
    <row r="1" spans="1:2" x14ac:dyDescent="0.25">
      <c r="A1" s="2" t="s">
        <v>12</v>
      </c>
      <c r="B1" s="2" t="s">
        <v>15</v>
      </c>
    </row>
    <row r="2" spans="1:2" x14ac:dyDescent="0.25">
      <c r="A2" s="3" t="s">
        <v>0</v>
      </c>
      <c r="B2" s="3">
        <v>68</v>
      </c>
    </row>
    <row r="3" spans="1:2" x14ac:dyDescent="0.25">
      <c r="A3" s="3" t="s">
        <v>3</v>
      </c>
      <c r="B3" s="3">
        <v>41</v>
      </c>
    </row>
    <row r="4" spans="1:2" x14ac:dyDescent="0.25">
      <c r="A4" s="3" t="s">
        <v>13</v>
      </c>
      <c r="B4" s="3">
        <v>38</v>
      </c>
    </row>
    <row r="5" spans="1:2" x14ac:dyDescent="0.25">
      <c r="A5" s="3" t="s">
        <v>6</v>
      </c>
      <c r="B5" s="3">
        <v>25</v>
      </c>
    </row>
    <row r="6" spans="1:2" x14ac:dyDescent="0.25">
      <c r="A6" s="3" t="s">
        <v>10</v>
      </c>
      <c r="B6" s="3">
        <v>24</v>
      </c>
    </row>
    <row r="7" spans="1:2" x14ac:dyDescent="0.25">
      <c r="A7" s="3" t="s">
        <v>1</v>
      </c>
      <c r="B7" s="3">
        <v>23</v>
      </c>
    </row>
    <row r="8" spans="1:2" x14ac:dyDescent="0.25">
      <c r="A8" s="3" t="s">
        <v>5</v>
      </c>
      <c r="B8" s="3">
        <v>21</v>
      </c>
    </row>
    <row r="9" spans="1:2" x14ac:dyDescent="0.25">
      <c r="A9" s="3" t="s">
        <v>4</v>
      </c>
      <c r="B9" s="3">
        <v>18</v>
      </c>
    </row>
    <row r="10" spans="1:2" x14ac:dyDescent="0.25">
      <c r="A10" s="3" t="s">
        <v>2</v>
      </c>
      <c r="B10" s="3">
        <v>10</v>
      </c>
    </row>
    <row r="11" spans="1:2" x14ac:dyDescent="0.25">
      <c r="A11" s="3" t="s">
        <v>11</v>
      </c>
      <c r="B11" s="3">
        <v>8</v>
      </c>
    </row>
    <row r="12" spans="1:2" x14ac:dyDescent="0.25">
      <c r="A12" s="3" t="s">
        <v>7</v>
      </c>
      <c r="B12" s="3">
        <v>4</v>
      </c>
    </row>
    <row r="13" spans="1:2" x14ac:dyDescent="0.25">
      <c r="A13" s="3" t="s">
        <v>18</v>
      </c>
      <c r="B13" s="3">
        <v>3</v>
      </c>
    </row>
    <row r="14" spans="1:2" x14ac:dyDescent="0.25">
      <c r="A14" s="3" t="s">
        <v>14</v>
      </c>
      <c r="B14" s="3">
        <v>3</v>
      </c>
    </row>
    <row r="15" spans="1:2" x14ac:dyDescent="0.25">
      <c r="A15" s="3" t="s">
        <v>16</v>
      </c>
      <c r="B15" s="3">
        <v>1</v>
      </c>
    </row>
    <row r="17" spans="1:2" x14ac:dyDescent="0.25">
      <c r="A17" s="1" t="s">
        <v>9</v>
      </c>
      <c r="B17" s="1">
        <f>SUM(B2:B15)</f>
        <v>287</v>
      </c>
    </row>
  </sheetData>
  <autoFilter ref="A1:B15" xr:uid="{23140D4E-4344-4026-B946-26330EA60A39}">
    <sortState xmlns:xlrd2="http://schemas.microsoft.com/office/spreadsheetml/2017/richdata2" ref="A2:B15">
      <sortCondition descending="1" ref="B1:B15"/>
    </sortState>
  </autoFilter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BEEE4-0E55-463E-BE77-9C71403AEE3B}">
  <dimension ref="A1:B11"/>
  <sheetViews>
    <sheetView workbookViewId="0">
      <selection activeCell="D16" sqref="D16"/>
    </sheetView>
  </sheetViews>
  <sheetFormatPr defaultRowHeight="15" x14ac:dyDescent="0.25"/>
  <cols>
    <col min="1" max="1" width="13.28515625" style="1" customWidth="1"/>
    <col min="2" max="2" width="18.42578125" style="1" bestFit="1" customWidth="1"/>
    <col min="3" max="9" width="9.140625" style="1"/>
    <col min="10" max="10" width="11.85546875" style="1" bestFit="1" customWidth="1"/>
    <col min="11" max="11" width="10.42578125" style="1" bestFit="1" customWidth="1"/>
    <col min="12" max="16384" width="9.140625" style="1"/>
  </cols>
  <sheetData>
    <row r="1" spans="1:2" x14ac:dyDescent="0.25">
      <c r="A1" s="2" t="s">
        <v>12</v>
      </c>
      <c r="B1" s="4" t="s">
        <v>17</v>
      </c>
    </row>
    <row r="2" spans="1:2" x14ac:dyDescent="0.25">
      <c r="A2" s="5" t="s">
        <v>0</v>
      </c>
      <c r="B2" s="5">
        <v>10</v>
      </c>
    </row>
    <row r="3" spans="1:2" x14ac:dyDescent="0.25">
      <c r="A3" s="5" t="s">
        <v>6</v>
      </c>
      <c r="B3" s="5">
        <v>4</v>
      </c>
    </row>
    <row r="4" spans="1:2" x14ac:dyDescent="0.25">
      <c r="A4" s="5" t="s">
        <v>5</v>
      </c>
      <c r="B4" s="5">
        <v>3</v>
      </c>
    </row>
    <row r="5" spans="1:2" x14ac:dyDescent="0.25">
      <c r="A5" s="5" t="s">
        <v>4</v>
      </c>
      <c r="B5" s="5">
        <v>2</v>
      </c>
    </row>
    <row r="6" spans="1:2" x14ac:dyDescent="0.25">
      <c r="A6" s="5" t="s">
        <v>2</v>
      </c>
      <c r="B6" s="5">
        <v>2</v>
      </c>
    </row>
    <row r="7" spans="1:2" x14ac:dyDescent="0.25">
      <c r="A7" s="5" t="s">
        <v>2</v>
      </c>
      <c r="B7" s="5">
        <v>1</v>
      </c>
    </row>
    <row r="8" spans="1:2" x14ac:dyDescent="0.25">
      <c r="A8" s="5" t="s">
        <v>1</v>
      </c>
      <c r="B8" s="5">
        <v>1</v>
      </c>
    </row>
    <row r="9" spans="1:2" x14ac:dyDescent="0.25">
      <c r="A9" s="5" t="s">
        <v>8</v>
      </c>
      <c r="B9" s="5">
        <v>1</v>
      </c>
    </row>
    <row r="10" spans="1:2" x14ac:dyDescent="0.25">
      <c r="A10" s="3"/>
      <c r="B10" s="3"/>
    </row>
    <row r="11" spans="1:2" x14ac:dyDescent="0.25">
      <c r="A11" s="3" t="s">
        <v>9</v>
      </c>
      <c r="B11" s="3">
        <f>SUM(B2:B9)</f>
        <v>24</v>
      </c>
    </row>
  </sheetData>
  <autoFilter ref="A1:B9" xr:uid="{23140D4E-4344-4026-B946-26330EA60A39}">
    <sortState xmlns:xlrd2="http://schemas.microsoft.com/office/spreadsheetml/2017/richdata2" ref="A2:B9">
      <sortCondition descending="1" ref="B1:B9"/>
    </sortState>
  </autoFilter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PEDIDOS ATENDIDOS</vt:lpstr>
      <vt:lpstr>TEMPO EM PERNOITE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Bruno Soares Vargas</dc:creator>
  <cp:keywords/>
  <dc:description/>
  <cp:lastModifiedBy>Bruno Soares Vargas</cp:lastModifiedBy>
  <cp:revision/>
  <dcterms:created xsi:type="dcterms:W3CDTF">2025-09-25T20:53:19Z</dcterms:created>
  <dcterms:modified xsi:type="dcterms:W3CDTF">2025-12-02T14:07:03Z</dcterms:modified>
  <cp:category/>
  <cp:contentStatus/>
</cp:coreProperties>
</file>